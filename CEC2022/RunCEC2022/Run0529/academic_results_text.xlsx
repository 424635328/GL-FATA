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Function</t>
        </is>
      </c>
      <c r="B1" s="1" t="inlineStr">
        <is>
          <t>MFATA-Levy</t>
        </is>
      </c>
      <c r="C1" s="1" t="inlineStr">
        <is>
          <t>IMFATA</t>
        </is>
      </c>
      <c r="D1" s="1" t="inlineStr">
        <is>
          <t>ASFSSA</t>
        </is>
      </c>
      <c r="E1" s="1" t="inlineStr">
        <is>
          <t>PSO</t>
        </is>
      </c>
      <c r="F1" s="1" t="inlineStr">
        <is>
          <t>FATA</t>
        </is>
      </c>
    </row>
    <row r="2">
      <c r="A2" s="2" t="inlineStr">
        <is>
          <t>F1</t>
        </is>
      </c>
      <c r="B2" s="2" t="inlineStr">
        <is>
          <t>+ (2.92e-11)</t>
        </is>
      </c>
      <c r="C2" s="2" t="inlineStr">
        <is>
          <t>+ (2.92e-11)</t>
        </is>
      </c>
      <c r="D2" s="2" t="inlineStr">
        <is>
          <t>- (6.26e-05)</t>
        </is>
      </c>
      <c r="E2" s="2" t="inlineStr">
        <is>
          <t>+ (7.87e-11)</t>
        </is>
      </c>
      <c r="F2" s="2" t="inlineStr">
        <is>
          <t>+ (2.92e-11)</t>
        </is>
      </c>
    </row>
    <row r="3">
      <c r="A3" s="2" t="inlineStr">
        <is>
          <t>F2</t>
        </is>
      </c>
      <c r="B3" s="2" t="inlineStr">
        <is>
          <t>+ (8.88e-06)</t>
        </is>
      </c>
      <c r="C3" s="2" t="inlineStr">
        <is>
          <t>+ (6.73e-06)</t>
        </is>
      </c>
      <c r="D3" s="2">
        <f> (1.67e-01)</f>
        <v/>
      </c>
      <c r="E3" s="2">
        <f> (3.25e-01)</f>
        <v/>
      </c>
      <c r="F3" s="2" t="inlineStr">
        <is>
          <t>+ (6.91e-04)</t>
        </is>
      </c>
    </row>
    <row r="4">
      <c r="A4" s="2" t="inlineStr">
        <is>
          <t>F3</t>
        </is>
      </c>
      <c r="B4" s="2" t="inlineStr">
        <is>
          <t>- (3.99e-04)</t>
        </is>
      </c>
      <c r="C4" s="2" t="inlineStr">
        <is>
          <t>- (8.88e-06)</t>
        </is>
      </c>
      <c r="D4" s="2" t="inlineStr">
        <is>
          <t>- (2.13e-04)</t>
        </is>
      </c>
      <c r="E4" s="2" t="inlineStr">
        <is>
          <t>- (3.34e-11)</t>
        </is>
      </c>
      <c r="F4" s="2">
        <f> (8.77e-01)</f>
        <v/>
      </c>
    </row>
    <row r="5">
      <c r="A5" s="2" t="inlineStr">
        <is>
          <t>F4</t>
        </is>
      </c>
      <c r="B5" s="2" t="inlineStr">
        <is>
          <t>+ (2.32e-02)</t>
        </is>
      </c>
      <c r="C5" s="2" t="inlineStr">
        <is>
          <t>+ (3.67e-03)</t>
        </is>
      </c>
      <c r="D5" s="2">
        <f> (9.59e-01)</f>
        <v/>
      </c>
      <c r="E5" s="2" t="inlineStr">
        <is>
          <t>- (3.26e-07)</t>
        </is>
      </c>
      <c r="F5" s="2">
        <f> (5.69e-01)</f>
        <v/>
      </c>
    </row>
    <row r="6">
      <c r="A6" s="2" t="inlineStr">
        <is>
          <t>F5</t>
        </is>
      </c>
      <c r="B6" s="2">
        <f> (2.58e-01)</f>
        <v/>
      </c>
      <c r="C6" s="2" t="inlineStr">
        <is>
          <t>+ (1.49e-06)</t>
        </is>
      </c>
      <c r="D6" s="2" t="inlineStr">
        <is>
          <t>+ (2.19e-08)</t>
        </is>
      </c>
      <c r="E6" s="2" t="inlineStr">
        <is>
          <t>- (5.57e-10)</t>
        </is>
      </c>
      <c r="F6" s="2" t="inlineStr">
        <is>
          <t>+ (2.00e-06)</t>
        </is>
      </c>
    </row>
    <row r="7">
      <c r="A7" s="2" t="inlineStr">
        <is>
          <t>F6</t>
        </is>
      </c>
      <c r="B7" s="2" t="inlineStr">
        <is>
          <t>+ (6.52e-09)</t>
        </is>
      </c>
      <c r="C7" s="2" t="inlineStr">
        <is>
          <t>+ (1.61e-10)</t>
        </is>
      </c>
      <c r="D7" s="2">
        <f> (5.37e-02)</f>
        <v/>
      </c>
      <c r="E7" s="2">
        <f> (9.63e-02)</f>
        <v/>
      </c>
      <c r="F7" s="2">
        <f> (6.79e-02)</f>
        <v/>
      </c>
    </row>
    <row r="8">
      <c r="A8" s="2" t="inlineStr">
        <is>
          <t>F7</t>
        </is>
      </c>
      <c r="B8" s="2" t="inlineStr">
        <is>
          <t>- (1.39e-06)</t>
        </is>
      </c>
      <c r="C8" s="2" t="inlineStr">
        <is>
          <t>- (5.56e-04)</t>
        </is>
      </c>
      <c r="D8" s="2">
        <f> (3.26e-01)</f>
        <v/>
      </c>
      <c r="E8" s="2" t="inlineStr">
        <is>
          <t>- (3.32e-06)</t>
        </is>
      </c>
      <c r="F8" s="2" t="inlineStr">
        <is>
          <t>+ (4.36e-02)</t>
        </is>
      </c>
    </row>
    <row r="9">
      <c r="A9" s="2" t="inlineStr">
        <is>
          <t>F8</t>
        </is>
      </c>
      <c r="B9" s="2">
        <f> (2.58e-01)</f>
        <v/>
      </c>
      <c r="C9" s="2">
        <f> (2.97e-01)</f>
        <v/>
      </c>
      <c r="D9" s="2">
        <f> (4.12e-01)</f>
        <v/>
      </c>
      <c r="E9" s="2">
        <f> (3.63e-01)</f>
        <v/>
      </c>
      <c r="F9" s="2">
        <f> (3.33e-01)</f>
        <v/>
      </c>
    </row>
    <row r="10">
      <c r="A10" s="2" t="inlineStr">
        <is>
          <t>F9</t>
        </is>
      </c>
      <c r="B10" s="2" t="inlineStr">
        <is>
          <t>+ (3.34e-11)</t>
        </is>
      </c>
      <c r="C10" s="2" t="inlineStr">
        <is>
          <t>+ (3.02e-11)</t>
        </is>
      </c>
      <c r="D10" s="2" t="inlineStr">
        <is>
          <t>- (2.39e-11)</t>
        </is>
      </c>
      <c r="E10" s="2" t="inlineStr">
        <is>
          <t>+ (4.16e-09)</t>
        </is>
      </c>
      <c r="F10" s="2" t="inlineStr">
        <is>
          <t>+ (3.02e-11)</t>
        </is>
      </c>
    </row>
    <row r="11">
      <c r="A11" s="2" t="inlineStr">
        <is>
          <t>F10</t>
        </is>
      </c>
      <c r="B11" s="2" t="inlineStr">
        <is>
          <t>+ (1.46e-10)</t>
        </is>
      </c>
      <c r="C11" s="2" t="inlineStr">
        <is>
          <t>- (2.28e-05)</t>
        </is>
      </c>
      <c r="D11" s="2">
        <f> (6.31e-01)</f>
        <v/>
      </c>
      <c r="E11" s="2" t="inlineStr">
        <is>
          <t>+ (6.77e-05)</t>
        </is>
      </c>
      <c r="F11" s="2" t="inlineStr">
        <is>
          <t>+ (1.78e-10)</t>
        </is>
      </c>
    </row>
    <row r="12">
      <c r="A12" s="2" t="inlineStr">
        <is>
          <t>F11</t>
        </is>
      </c>
      <c r="B12" s="2" t="inlineStr">
        <is>
          <t>+ (3.03e-02)</t>
        </is>
      </c>
      <c r="C12" s="2" t="inlineStr">
        <is>
          <t>+ (8.29e-03)</t>
        </is>
      </c>
      <c r="D12" s="2" t="inlineStr">
        <is>
          <t>+ (1.83e-02)</t>
        </is>
      </c>
      <c r="E12" s="2" t="inlineStr">
        <is>
          <t>- (4.81e-09)</t>
        </is>
      </c>
      <c r="F12" s="2" t="inlineStr">
        <is>
          <t>+ (6.88e-04)</t>
        </is>
      </c>
    </row>
    <row r="13">
      <c r="A13" s="2" t="inlineStr">
        <is>
          <t>F12</t>
        </is>
      </c>
      <c r="B13" s="2">
        <f> (5.49e-01)</f>
        <v/>
      </c>
      <c r="C13" s="2">
        <f> (7.73e-01)</f>
        <v/>
      </c>
      <c r="D13" s="2" t="inlineStr">
        <is>
          <t>+ (1.87e-05)</t>
        </is>
      </c>
      <c r="E13" s="2" t="inlineStr">
        <is>
          <t>+ (3.35e-08)</t>
        </is>
      </c>
      <c r="F13" s="2" t="inlineStr">
        <is>
          <t>+ (1.47e-07)</t>
        </is>
      </c>
    </row>
    <row r="14">
      <c r="A14" s="3" t="inlineStr">
        <is>
          <t>Total (+/=/−)</t>
        </is>
      </c>
      <c r="B14" s="3" t="inlineStr">
        <is>
          <t>7 / 3 / 2</t>
        </is>
      </c>
      <c r="C14" s="3" t="inlineStr">
        <is>
          <t>7 / 2 / 3</t>
        </is>
      </c>
      <c r="D14" s="3" t="inlineStr">
        <is>
          <t>3 / 6 / 3</t>
        </is>
      </c>
      <c r="E14" s="3" t="inlineStr">
        <is>
          <t>4 / 3 / 5</t>
        </is>
      </c>
      <c r="F14" s="3" t="inlineStr">
        <is>
          <t>8 / 4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2026-05-29T16:35:45Z</dcterms:created>
  <dcterms:modified xmlns:dcterms="http://purl.org/dc/terms/" xmlns:xsi="http://www.w3.org/2001/XMLSchema-instance" xsi:type="dcterms:W3CDTF">2026-05-29T16:35:45Z</dcterms:modified>
</cp:coreProperties>
</file>